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Miguel Prado Jiménez\Documentos\Apuntes Universidad\Cuarto año\ISPP\"/>
    </mc:Choice>
  </mc:AlternateContent>
  <xr:revisionPtr revIDLastSave="0" documentId="8_{70F06E3E-D185-46E9-8A89-A0C7AADBA159}" xr6:coauthVersionLast="47" xr6:coauthVersionMax="47" xr10:uidLastSave="{00000000-0000-0000-0000-000000000000}"/>
  <bookViews>
    <workbookView xWindow="-110" yWindow="-110" windowWidth="19420" windowHeight="10300" activeTab="6" xr2:uid="{02C8C9D8-2F21-45BA-9A66-91BB45160C54}"/>
  </bookViews>
  <sheets>
    <sheet name="Contribución a los entregables" sheetId="1" r:id="rId1"/>
    <sheet name="Comentarios sobre #DP" sheetId="2" r:id="rId2"/>
    <sheet name="Comentarios sobre #S1" sheetId="3" r:id="rId3"/>
    <sheet name="Comentarios sobre #S2" sheetId="4" r:id="rId4"/>
    <sheet name="Comentarios sobre #S3" sheetId="5" r:id="rId5"/>
    <sheet name="Comentarios sobre #PPL" sheetId="6" r:id="rId6"/>
    <sheet name="Comentarios sobre #WPL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6" i="1" l="1"/>
  <c r="H27" i="1" s="1"/>
  <c r="B25" i="1"/>
  <c r="C26" i="1" s="1"/>
  <c r="G26" i="1" l="1"/>
  <c r="G27" i="1" s="1"/>
  <c r="F26" i="1"/>
  <c r="F27" i="1" s="1"/>
  <c r="E26" i="1"/>
  <c r="E27" i="1" s="1"/>
  <c r="D26" i="1"/>
  <c r="D27" i="1" s="1"/>
  <c r="C27" i="1"/>
</calcChain>
</file>

<file path=xl/sharedStrings.xml><?xml version="1.0" encoding="utf-8"?>
<sst xmlns="http://schemas.openxmlformats.org/spreadsheetml/2006/main" count="79" uniqueCount="71">
  <si>
    <t>Nombre</t>
  </si>
  <si>
    <t>Apellidos</t>
  </si>
  <si>
    <t>Devising a project (#DP)</t>
  </si>
  <si>
    <t>Sprint 1 (#S1)</t>
  </si>
  <si>
    <t>Sprint 2 (#S2)</t>
  </si>
  <si>
    <t>Sprint 3 (#S3)</t>
  </si>
  <si>
    <t>Preparing project launch (#PPL)</t>
  </si>
  <si>
    <t>World Project Launch (#WPL)</t>
  </si>
  <si>
    <t>Aarón Jesús</t>
  </si>
  <si>
    <t>Acuña Bellido</t>
  </si>
  <si>
    <t xml:space="preserve">Miguel </t>
  </si>
  <si>
    <t>Prado Jiménez</t>
  </si>
  <si>
    <t>Pablo</t>
  </si>
  <si>
    <t>Ferrería Hijón</t>
  </si>
  <si>
    <t>Salvador Ramón</t>
  </si>
  <si>
    <t>Espinosa Merino</t>
  </si>
  <si>
    <t>Romero Gómez</t>
  </si>
  <si>
    <t>Alba</t>
  </si>
  <si>
    <t>González Pineda</t>
  </si>
  <si>
    <t>Alberto</t>
  </si>
  <si>
    <t>Valenzuela Muñoz</t>
  </si>
  <si>
    <t>Alejandro</t>
  </si>
  <si>
    <t>Parody Quirós</t>
  </si>
  <si>
    <t>Álvaro</t>
  </si>
  <si>
    <t>Barragán Bernal</t>
  </si>
  <si>
    <t xml:space="preserve">Antonio </t>
  </si>
  <si>
    <t>Roldán Pérez</t>
  </si>
  <si>
    <t>Diego</t>
  </si>
  <si>
    <t>Manzanos Anento</t>
  </si>
  <si>
    <t>Javier</t>
  </si>
  <si>
    <t>Arellano López</t>
  </si>
  <si>
    <t>Ruíz Fernández</t>
  </si>
  <si>
    <t>Jesús</t>
  </si>
  <si>
    <t>Villalba Fernández</t>
  </si>
  <si>
    <t>José Manuel</t>
  </si>
  <si>
    <t>Moreno Guerrero</t>
  </si>
  <si>
    <t>Lucía</t>
  </si>
  <si>
    <t>Campos Díez</t>
  </si>
  <si>
    <t>Luis</t>
  </si>
  <si>
    <t>Gómez de Terreros Oramas</t>
  </si>
  <si>
    <t>Manuel</t>
  </si>
  <si>
    <t>Alcaraz Zambrano</t>
  </si>
  <si>
    <t>Mario</t>
  </si>
  <si>
    <t>Rivas Becerra</t>
  </si>
  <si>
    <t xml:space="preserve">Rafael </t>
  </si>
  <si>
    <t>Pineda Pérez</t>
  </si>
  <si>
    <t>Raúl</t>
  </si>
  <si>
    <t>Calero Capote</t>
  </si>
  <si>
    <t>Baladrón Caballero</t>
  </si>
  <si>
    <t>Numero de Miembros</t>
  </si>
  <si>
    <t>TOTAL Asignado</t>
  </si>
  <si>
    <t>Por Asignar</t>
  </si>
  <si>
    <t>IMPORTANTE:</t>
  </si>
  <si>
    <t>La fila de TOTAL Asignado debe tener el valor 100% (resaltado en verde).</t>
  </si>
  <si>
    <t>Solo se permitirá una distribución asimétrica si se justifica en terminos de que una persona ha hecho una dedicacion en horas menora la esperada (10h semanales) y eso a provocado que no ha podido completar tareas que han debido ser reasignadas a otro miembro que, a su vez, ha tenido que hacer un sobreesfuerzo en horas para completarlas.</t>
  </si>
  <si>
    <t>En el caso de que la distribución sea asimetrica, hay que rellenar un comentario explicando la situación en la pestaña "Comentarios sobre XX" del entregable correspondiente.</t>
  </si>
  <si>
    <t>En cada entregable solo se puede actualizar la columna del entregable correspondiente SIN modificar la distribución de entregables anteriores.</t>
  </si>
  <si>
    <t>Miembro</t>
  </si>
  <si>
    <t>Comentario</t>
  </si>
  <si>
    <t>Alba González Pineda</t>
  </si>
  <si>
    <t>Alba no ha alcanzado el 90% del trabajo estipulado para la distribución simétrica  y por tanto se le aplicará una
distribución asimétrica a su nota. Tenemos en cuenta su situación esta semana y sabemos que la semana anterior
trabajó bien, por lo que no se tomarán más medidas.</t>
  </si>
  <si>
    <t>José Manuel Moreno Guerrero</t>
  </si>
  <si>
    <t xml:space="preserve">José Manuel se ha quedado muy por detrás del 80% mínimo aceptable. Se le aplicará una distribución asimétrica 
a su nota y se le dará un aviso formal. En caso de reincidir en su falta de trabajo se le invitará a abandonar el equipo. </t>
  </si>
  <si>
    <t>Manuel Alcaraz Zambrano</t>
  </si>
  <si>
    <t xml:space="preserve">Manuel no ha alcanzado el 80% mínimo aceptable. Se le aplicará una distribución asimétrica a su nota y se le dará 
un aviso formal. En caso de reincidir en su falta de trabajo se le invitará a abandonar el equipo. </t>
  </si>
  <si>
    <t>Javier Ruiz Fernández</t>
  </si>
  <si>
    <t xml:space="preserve">Javier Ruiz no ha alcanzado el 90% del trabajo estipulado para la distribución simétrica  y por tanto se le aplicará una
distribución asimétrica a su nota. </t>
  </si>
  <si>
    <t>Álvaro Baladrón Caballero</t>
  </si>
  <si>
    <t>Álvaro Baladrón se ha quedado por detrás del 80% mínimo aceptable. Se le aplicará una distribución asimétrica 
a su nota y se le dará un aviso formal</t>
  </si>
  <si>
    <t>No hay reparto asimétrico</t>
  </si>
  <si>
    <t>Manuel no ha alcanzado el 90% mínimo aceptable. Se le aplicará una distribución asimétrica a su nota.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</si>
</sst>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b/>
      <sz val="9"/>
      <color theme="1"/>
      <name val="Aptos Narrow"/>
      <family val="2"/>
      <scheme val="minor"/>
    </font>
    <font>
      <sz val="12"/>
      <color theme="1"/>
      <name val="Calibri"/>
      <family val="2"/>
    </font>
    <font>
      <b/>
      <u/>
      <sz val="11"/>
      <color theme="1"/>
      <name val="Aptos Narrow"/>
      <family val="2"/>
      <scheme val="minor"/>
    </font>
    <font>
      <sz val="10"/>
      <color rgb="FF000000"/>
      <name val="Arial"/>
      <charset val="1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8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theme="4" tint="-0.499984740745262"/>
      </left>
      <right/>
      <top style="medium">
        <color theme="4" tint="-0.499984740745262"/>
      </top>
      <bottom/>
      <diagonal/>
    </border>
    <border>
      <left/>
      <right style="medium">
        <color theme="4" tint="-0.499984740745262"/>
      </right>
      <top style="medium">
        <color theme="4" tint="-0.499984740745262"/>
      </top>
      <bottom/>
      <diagonal/>
    </border>
    <border>
      <left style="medium">
        <color theme="4" tint="-0.499984740745262"/>
      </left>
      <right/>
      <top/>
      <bottom/>
      <diagonal/>
    </border>
    <border>
      <left/>
      <right style="medium">
        <color theme="4" tint="-0.499984740745262"/>
      </right>
      <top/>
      <bottom/>
      <diagonal/>
    </border>
    <border>
      <left style="medium">
        <color theme="4" tint="-0.499984740745262"/>
      </left>
      <right/>
      <top/>
      <bottom style="medium">
        <color theme="4" tint="-0.499984740745262"/>
      </bottom>
      <diagonal/>
    </border>
    <border>
      <left/>
      <right style="medium">
        <color theme="4" tint="-0.499984740745262"/>
      </right>
      <top/>
      <bottom style="medium">
        <color theme="4" tint="-0.499984740745262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2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/>
    </xf>
    <xf numFmtId="9" fontId="2" fillId="0" borderId="1" xfId="1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10" fontId="0" fillId="0" borderId="0" xfId="1" applyNumberFormat="1" applyFon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0" fontId="5" fillId="0" borderId="0" xfId="0" applyFont="1"/>
    <xf numFmtId="0" fontId="6" fillId="0" borderId="0" xfId="0" applyFont="1" applyAlignment="1">
      <alignment horizontal="center" vertical="center"/>
    </xf>
    <xf numFmtId="0" fontId="8" fillId="2" borderId="2" xfId="0" applyFont="1" applyFill="1" applyBorder="1"/>
    <xf numFmtId="0" fontId="8" fillId="2" borderId="3" xfId="0" applyFont="1" applyFill="1" applyBorder="1"/>
    <xf numFmtId="0" fontId="0" fillId="0" borderId="5" xfId="0" applyBorder="1" applyAlignment="1">
      <alignment wrapText="1"/>
    </xf>
    <xf numFmtId="0" fontId="7" fillId="0" borderId="4" xfId="0" applyFont="1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wrapText="1"/>
    </xf>
    <xf numFmtId="0" fontId="0" fillId="0" borderId="5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</cellXfs>
  <cellStyles count="2">
    <cellStyle name="Normal" xfId="0" builtinId="0"/>
    <cellStyle name="Porcentaje" xfId="1" builtinId="5"/>
  </cellStyles>
  <dxfs count="8">
    <dxf>
      <fill>
        <patternFill>
          <bgColor rgb="FFFF9393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  <border>
        <left style="thin">
          <color theme="2"/>
        </left>
        <right style="thin">
          <color theme="2"/>
        </right>
        <top style="thin">
          <color theme="2"/>
        </top>
        <bottom style="thin">
          <color theme="2"/>
        </bottom>
      </border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theme="1"/>
      </font>
      <fill>
        <patternFill patternType="solid">
          <bgColor theme="9" tint="0.79998168889431442"/>
        </patternFill>
      </fill>
    </dxf>
  </dxfs>
  <tableStyles count="0" defaultTableStyle="TableStyleMedium2" defaultPivotStyle="PivotStyleLight16"/>
  <colors>
    <mruColors>
      <color rgb="FFFF93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F89C9-C95E-4402-8344-C5801FC30A20}">
  <dimension ref="A1:H36"/>
  <sheetViews>
    <sheetView workbookViewId="0">
      <selection activeCell="J16" sqref="J16"/>
    </sheetView>
  </sheetViews>
  <sheetFormatPr defaultColWidth="11.42578125" defaultRowHeight="14.45"/>
  <cols>
    <col min="1" max="1" width="16.140625" customWidth="1"/>
    <col min="2" max="2" width="15" customWidth="1"/>
    <col min="3" max="7" width="10.7109375" style="2" customWidth="1"/>
  </cols>
  <sheetData>
    <row r="1" spans="1:8" s="5" customFormat="1" ht="44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ht="15">
      <c r="A2" s="1" t="s">
        <v>8</v>
      </c>
      <c r="B2" s="1" t="s">
        <v>9</v>
      </c>
      <c r="C2" s="3">
        <v>1.2</v>
      </c>
      <c r="D2" s="3">
        <v>1.2</v>
      </c>
      <c r="E2" s="3">
        <v>1.08</v>
      </c>
      <c r="F2" s="3">
        <v>1.02</v>
      </c>
      <c r="G2" s="3">
        <v>1</v>
      </c>
      <c r="H2" s="3">
        <v>1.1000000000000001</v>
      </c>
    </row>
    <row r="3" spans="1:8" ht="15">
      <c r="A3" s="1" t="s">
        <v>10</v>
      </c>
      <c r="B3" s="1" t="s">
        <v>11</v>
      </c>
      <c r="C3" s="3">
        <v>1.2</v>
      </c>
      <c r="D3" s="3">
        <v>1.1499999999999999</v>
      </c>
      <c r="E3" s="3">
        <v>1.04</v>
      </c>
      <c r="F3" s="3">
        <v>1.02</v>
      </c>
      <c r="G3" s="3">
        <v>1.05</v>
      </c>
      <c r="H3" s="3">
        <v>1.1000000000000001</v>
      </c>
    </row>
    <row r="4" spans="1:8" ht="15">
      <c r="A4" s="1" t="s">
        <v>12</v>
      </c>
      <c r="B4" s="1" t="s">
        <v>13</v>
      </c>
      <c r="C4" s="3">
        <v>1.23</v>
      </c>
      <c r="D4" s="3">
        <v>1</v>
      </c>
      <c r="E4" s="3">
        <v>1</v>
      </c>
      <c r="F4" s="3">
        <v>1</v>
      </c>
      <c r="G4" s="3">
        <v>1.1000000000000001</v>
      </c>
      <c r="H4" s="3">
        <v>1.05</v>
      </c>
    </row>
    <row r="5" spans="1:8" ht="15">
      <c r="A5" s="1" t="s">
        <v>14</v>
      </c>
      <c r="B5" s="1" t="s">
        <v>15</v>
      </c>
      <c r="C5" s="3">
        <v>1.25</v>
      </c>
      <c r="D5" s="3">
        <v>1</v>
      </c>
      <c r="E5" s="3">
        <v>1.08</v>
      </c>
      <c r="F5" s="3">
        <v>1.04</v>
      </c>
      <c r="G5" s="3">
        <v>1.05</v>
      </c>
      <c r="H5" s="3">
        <v>1.1000000000000001</v>
      </c>
    </row>
    <row r="6" spans="1:8" ht="15">
      <c r="A6" s="1" t="s">
        <v>12</v>
      </c>
      <c r="B6" s="1" t="s">
        <v>16</v>
      </c>
      <c r="C6" s="3">
        <v>1.07</v>
      </c>
      <c r="D6" s="3">
        <v>1.1000000000000001</v>
      </c>
      <c r="E6" s="3">
        <v>1</v>
      </c>
      <c r="F6" s="3">
        <v>1</v>
      </c>
      <c r="G6" s="3">
        <v>1.05</v>
      </c>
      <c r="H6" s="3">
        <v>1.02</v>
      </c>
    </row>
    <row r="7" spans="1:8" ht="15">
      <c r="A7" s="1" t="s">
        <v>17</v>
      </c>
      <c r="B7" s="1" t="s">
        <v>18</v>
      </c>
      <c r="C7" s="3">
        <v>0.8</v>
      </c>
      <c r="D7" s="3">
        <v>1</v>
      </c>
      <c r="E7" s="3">
        <v>1</v>
      </c>
      <c r="F7" s="3">
        <v>1</v>
      </c>
      <c r="G7" s="3">
        <v>1.05</v>
      </c>
      <c r="H7" s="3">
        <v>0.96</v>
      </c>
    </row>
    <row r="8" spans="1:8" ht="24">
      <c r="A8" s="1" t="s">
        <v>19</v>
      </c>
      <c r="B8" s="1" t="s">
        <v>20</v>
      </c>
      <c r="C8" s="3">
        <v>1</v>
      </c>
      <c r="D8" s="3">
        <v>1</v>
      </c>
      <c r="E8" s="3">
        <v>1</v>
      </c>
      <c r="F8" s="3">
        <v>1</v>
      </c>
      <c r="G8" s="3">
        <v>1.04</v>
      </c>
      <c r="H8" s="3">
        <v>0.95</v>
      </c>
    </row>
    <row r="9" spans="1:8" ht="15">
      <c r="A9" s="1" t="s">
        <v>21</v>
      </c>
      <c r="B9" s="1" t="s">
        <v>22</v>
      </c>
      <c r="C9" s="3">
        <v>0.9</v>
      </c>
      <c r="D9" s="3">
        <v>1</v>
      </c>
      <c r="E9" s="3">
        <v>1</v>
      </c>
      <c r="F9" s="3">
        <v>1</v>
      </c>
      <c r="G9" s="3">
        <v>1.05</v>
      </c>
      <c r="H9" s="3">
        <v>0.95</v>
      </c>
    </row>
    <row r="10" spans="1:8" ht="15">
      <c r="A10" s="1" t="s">
        <v>23</v>
      </c>
      <c r="B10" s="1" t="s">
        <v>24</v>
      </c>
      <c r="C10" s="3">
        <v>1</v>
      </c>
      <c r="D10" s="3">
        <v>1</v>
      </c>
      <c r="E10" s="3">
        <v>1</v>
      </c>
      <c r="F10" s="3">
        <v>1.02</v>
      </c>
      <c r="G10" s="3">
        <v>0.91</v>
      </c>
      <c r="H10" s="3">
        <v>1</v>
      </c>
    </row>
    <row r="11" spans="1:8" ht="15">
      <c r="A11" s="1" t="s">
        <v>25</v>
      </c>
      <c r="B11" s="1" t="s">
        <v>26</v>
      </c>
      <c r="C11" s="3">
        <v>0.9</v>
      </c>
      <c r="D11" s="3">
        <v>0.9</v>
      </c>
      <c r="E11" s="3">
        <v>1</v>
      </c>
      <c r="F11" s="3">
        <v>1</v>
      </c>
      <c r="G11" s="3">
        <v>1</v>
      </c>
      <c r="H11" s="3">
        <v>1.02</v>
      </c>
    </row>
    <row r="12" spans="1:8" ht="24">
      <c r="A12" s="1" t="s">
        <v>27</v>
      </c>
      <c r="B12" s="1" t="s">
        <v>28</v>
      </c>
      <c r="C12" s="3">
        <v>1</v>
      </c>
      <c r="D12" s="3">
        <v>1</v>
      </c>
      <c r="E12" s="3">
        <v>1</v>
      </c>
      <c r="F12" s="3">
        <v>1</v>
      </c>
      <c r="G12" s="3">
        <v>1</v>
      </c>
      <c r="H12" s="3">
        <v>1</v>
      </c>
    </row>
    <row r="13" spans="1:8" ht="15">
      <c r="A13" s="1" t="s">
        <v>29</v>
      </c>
      <c r="B13" s="1" t="s">
        <v>30</v>
      </c>
      <c r="C13" s="3">
        <v>1.25</v>
      </c>
      <c r="D13" s="3">
        <v>1</v>
      </c>
      <c r="E13" s="3">
        <v>1</v>
      </c>
      <c r="F13" s="3">
        <v>1</v>
      </c>
      <c r="G13" s="3">
        <v>1</v>
      </c>
      <c r="H13" s="3">
        <v>1.01</v>
      </c>
    </row>
    <row r="14" spans="1:8" ht="15">
      <c r="A14" s="1" t="s">
        <v>29</v>
      </c>
      <c r="B14" s="1" t="s">
        <v>31</v>
      </c>
      <c r="C14" s="3">
        <v>0.9</v>
      </c>
      <c r="D14" s="3">
        <v>0.85</v>
      </c>
      <c r="E14" s="3">
        <v>0.89</v>
      </c>
      <c r="F14" s="3">
        <v>1</v>
      </c>
      <c r="G14" s="3">
        <v>0.96</v>
      </c>
      <c r="H14" s="3">
        <v>0.9</v>
      </c>
    </row>
    <row r="15" spans="1:8" ht="24">
      <c r="A15" s="1" t="s">
        <v>32</v>
      </c>
      <c r="B15" s="1" t="s">
        <v>33</v>
      </c>
      <c r="C15" s="3">
        <v>1</v>
      </c>
      <c r="D15" s="3">
        <v>1</v>
      </c>
      <c r="E15" s="3">
        <v>1</v>
      </c>
      <c r="F15" s="3">
        <v>1</v>
      </c>
      <c r="G15" s="3">
        <v>0.91</v>
      </c>
      <c r="H15" s="3">
        <v>1</v>
      </c>
    </row>
    <row r="16" spans="1:8" ht="15">
      <c r="A16" s="1" t="s">
        <v>34</v>
      </c>
      <c r="B16" s="1" t="s">
        <v>35</v>
      </c>
      <c r="C16" s="3">
        <v>0.43</v>
      </c>
      <c r="D16" s="3">
        <v>1</v>
      </c>
      <c r="E16" s="3">
        <v>0.91</v>
      </c>
      <c r="F16" s="3">
        <v>0.9</v>
      </c>
      <c r="G16" s="3">
        <v>0.93</v>
      </c>
      <c r="H16" s="3">
        <v>0.9</v>
      </c>
    </row>
    <row r="17" spans="1:8" ht="15">
      <c r="A17" s="1" t="s">
        <v>36</v>
      </c>
      <c r="B17" s="1" t="s">
        <v>37</v>
      </c>
      <c r="C17" s="3">
        <v>1.1499999999999999</v>
      </c>
      <c r="D17" s="3">
        <v>1</v>
      </c>
      <c r="E17" s="3">
        <v>1</v>
      </c>
      <c r="F17" s="3">
        <v>1</v>
      </c>
      <c r="G17" s="3">
        <v>1.04</v>
      </c>
      <c r="H17" s="3">
        <v>1.01</v>
      </c>
    </row>
    <row r="18" spans="1:8" ht="24">
      <c r="A18" s="1" t="s">
        <v>38</v>
      </c>
      <c r="B18" s="1" t="s">
        <v>39</v>
      </c>
      <c r="C18" s="3">
        <v>1.1200000000000001</v>
      </c>
      <c r="D18" s="3">
        <v>1</v>
      </c>
      <c r="E18" s="3">
        <v>1</v>
      </c>
      <c r="F18" s="3">
        <v>1</v>
      </c>
      <c r="G18" s="3">
        <v>1</v>
      </c>
      <c r="H18" s="3">
        <v>1</v>
      </c>
    </row>
    <row r="19" spans="1:8" ht="24">
      <c r="A19" s="1" t="s">
        <v>40</v>
      </c>
      <c r="B19" s="1" t="s">
        <v>41</v>
      </c>
      <c r="C19" s="3">
        <v>0.6</v>
      </c>
      <c r="D19" s="3">
        <v>1</v>
      </c>
      <c r="E19" s="3">
        <v>1</v>
      </c>
      <c r="F19" s="3">
        <v>1</v>
      </c>
      <c r="G19" s="3">
        <v>0.94</v>
      </c>
      <c r="H19" s="3">
        <v>0.88</v>
      </c>
    </row>
    <row r="20" spans="1:8" ht="15">
      <c r="A20" s="1" t="s">
        <v>42</v>
      </c>
      <c r="B20" s="1" t="s">
        <v>43</v>
      </c>
      <c r="C20" s="3">
        <v>1</v>
      </c>
      <c r="D20" s="3">
        <v>1</v>
      </c>
      <c r="E20" s="3">
        <v>1</v>
      </c>
      <c r="F20" s="3">
        <v>1</v>
      </c>
      <c r="G20" s="3">
        <v>1</v>
      </c>
      <c r="H20" s="3">
        <v>1.05</v>
      </c>
    </row>
    <row r="21" spans="1:8" ht="15">
      <c r="A21" s="1" t="s">
        <v>44</v>
      </c>
      <c r="B21" s="1" t="s">
        <v>45</v>
      </c>
      <c r="C21" s="3">
        <v>1</v>
      </c>
      <c r="D21" s="3">
        <v>1.1000000000000001</v>
      </c>
      <c r="E21" s="3">
        <v>1</v>
      </c>
      <c r="F21" s="3">
        <v>1</v>
      </c>
      <c r="G21" s="3">
        <v>0.97</v>
      </c>
      <c r="H21" s="3">
        <v>1</v>
      </c>
    </row>
    <row r="22" spans="1:8" ht="15">
      <c r="A22" s="1" t="s">
        <v>46</v>
      </c>
      <c r="B22" s="1" t="s">
        <v>47</v>
      </c>
      <c r="C22" s="3">
        <v>1</v>
      </c>
      <c r="D22" s="3">
        <v>1</v>
      </c>
      <c r="E22" s="3">
        <v>1</v>
      </c>
      <c r="F22" s="3">
        <v>1</v>
      </c>
      <c r="G22" s="3">
        <v>0.99</v>
      </c>
      <c r="H22" s="3">
        <v>1</v>
      </c>
    </row>
    <row r="23" spans="1:8" ht="24">
      <c r="A23" s="1" t="s">
        <v>23</v>
      </c>
      <c r="B23" s="1" t="s">
        <v>48</v>
      </c>
      <c r="C23" s="3">
        <v>1</v>
      </c>
      <c r="D23" s="3">
        <v>0.7</v>
      </c>
      <c r="E23" s="3">
        <v>1</v>
      </c>
      <c r="F23" s="3">
        <v>1</v>
      </c>
      <c r="G23" s="3">
        <v>0.96</v>
      </c>
      <c r="H23" s="3">
        <v>1</v>
      </c>
    </row>
    <row r="24" spans="1:8" ht="15">
      <c r="H24" s="2"/>
    </row>
    <row r="25" spans="1:8" ht="29.25">
      <c r="A25" s="8" t="s">
        <v>49</v>
      </c>
      <c r="B25" s="2">
        <f>COUNTA(A2:A23)</f>
        <v>22</v>
      </c>
      <c r="H25" s="2"/>
    </row>
    <row r="26" spans="1:8" ht="15">
      <c r="A26" t="s">
        <v>50</v>
      </c>
      <c r="C26" s="6">
        <f>SUM(C2:C23)/$B$25</f>
        <v>1.0000000000000002</v>
      </c>
      <c r="D26" s="6">
        <f>SUM(D2:D23)/$B$25</f>
        <v>1</v>
      </c>
      <c r="E26" s="6">
        <f>SUM(E2:E23)/$B$25</f>
        <v>1</v>
      </c>
      <c r="F26" s="6">
        <f>SUM(F2:F23)/$B$25</f>
        <v>1</v>
      </c>
      <c r="G26" s="6">
        <f>SUM(G2:G23)/$B$25</f>
        <v>1</v>
      </c>
      <c r="H26" s="6">
        <f>SUM(H2:H23)/$B$25</f>
        <v>1</v>
      </c>
    </row>
    <row r="27" spans="1:8" ht="15">
      <c r="A27" t="s">
        <v>51</v>
      </c>
      <c r="C27" s="7">
        <f>1-C26</f>
        <v>0</v>
      </c>
      <c r="D27" s="7">
        <f t="shared" ref="D27:G27" si="0">1-D26</f>
        <v>0</v>
      </c>
      <c r="E27" s="7">
        <f t="shared" si="0"/>
        <v>0</v>
      </c>
      <c r="F27" s="7">
        <f t="shared" si="0"/>
        <v>0</v>
      </c>
      <c r="G27" s="7">
        <f t="shared" si="0"/>
        <v>0</v>
      </c>
      <c r="H27" s="7">
        <f t="shared" ref="H27" si="1">1-H26</f>
        <v>0</v>
      </c>
    </row>
    <row r="28" spans="1:8" ht="15"/>
    <row r="30" spans="1:8">
      <c r="A30" s="10" t="s">
        <v>52</v>
      </c>
      <c r="B30" t="s">
        <v>53</v>
      </c>
    </row>
    <row r="31" spans="1:8" ht="79.5" customHeight="1">
      <c r="B31" s="19" t="s">
        <v>54</v>
      </c>
      <c r="C31" s="19"/>
      <c r="D31" s="19"/>
      <c r="E31" s="19"/>
      <c r="F31" s="19"/>
      <c r="G31" s="19"/>
    </row>
    <row r="32" spans="1:8" ht="47.25" customHeight="1">
      <c r="B32" s="19" t="s">
        <v>55</v>
      </c>
      <c r="C32" s="19"/>
      <c r="D32" s="19"/>
      <c r="E32" s="19"/>
      <c r="F32" s="19"/>
      <c r="G32" s="19"/>
    </row>
    <row r="33" spans="2:7" ht="44.25" customHeight="1">
      <c r="B33" s="19" t="s">
        <v>56</v>
      </c>
      <c r="C33" s="19"/>
      <c r="D33" s="19"/>
      <c r="E33" s="19"/>
      <c r="F33" s="19"/>
      <c r="G33" s="19"/>
    </row>
    <row r="36" spans="2:7" ht="15.6">
      <c r="D36" s="9"/>
    </row>
  </sheetData>
  <mergeCells count="3">
    <mergeCell ref="B31:G31"/>
    <mergeCell ref="B32:G32"/>
    <mergeCell ref="B33:G33"/>
  </mergeCells>
  <conditionalFormatting sqref="C26:H26">
    <cfRule type="cellIs" dxfId="7" priority="5" operator="equal">
      <formula>1</formula>
    </cfRule>
    <cfRule type="cellIs" dxfId="6" priority="6" operator="equal">
      <formula>0</formula>
    </cfRule>
    <cfRule type="cellIs" dxfId="5" priority="7" operator="lessThan">
      <formula>1</formula>
    </cfRule>
    <cfRule type="cellIs" dxfId="4" priority="8" operator="greaterThan">
      <formula>1</formula>
    </cfRule>
  </conditionalFormatting>
  <conditionalFormatting sqref="C27:H27">
    <cfRule type="cellIs" dxfId="3" priority="1" operator="equal">
      <formula>""</formula>
    </cfRule>
    <cfRule type="cellIs" dxfId="2" priority="2" operator="equal">
      <formula>0</formula>
    </cfRule>
    <cfRule type="cellIs" dxfId="1" priority="3" operator="greaterThan">
      <formula>0</formula>
    </cfRule>
    <cfRule type="cellIs" dxfId="0" priority="4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6F382-02E1-40C2-A4CE-CF742186EEF1}">
  <dimension ref="B1:C6"/>
  <sheetViews>
    <sheetView workbookViewId="0">
      <selection activeCell="B2" sqref="B2:C2"/>
    </sheetView>
  </sheetViews>
  <sheetFormatPr defaultColWidth="11.42578125" defaultRowHeight="14.45"/>
  <cols>
    <col min="2" max="2" width="30" customWidth="1"/>
    <col min="3" max="3" width="98.28515625" customWidth="1"/>
  </cols>
  <sheetData>
    <row r="1" spans="2:3" ht="15"/>
    <row r="2" spans="2:3" ht="15">
      <c r="B2" s="11" t="s">
        <v>57</v>
      </c>
      <c r="C2" s="12" t="s">
        <v>58</v>
      </c>
    </row>
    <row r="3" spans="2:3" ht="44.25" customHeight="1">
      <c r="B3" s="14" t="s">
        <v>59</v>
      </c>
      <c r="C3" s="13" t="s">
        <v>60</v>
      </c>
    </row>
    <row r="4" spans="2:3" ht="29.25">
      <c r="B4" s="15" t="s">
        <v>61</v>
      </c>
      <c r="C4" s="13" t="s">
        <v>62</v>
      </c>
    </row>
    <row r="5" spans="2:3" ht="29.25">
      <c r="B5" s="16" t="s">
        <v>63</v>
      </c>
      <c r="C5" s="17" t="s">
        <v>64</v>
      </c>
    </row>
    <row r="6" spans="2:3" ht="1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7D492-76AC-48CC-8E70-4FD580B74AA0}">
  <dimension ref="A1:B3"/>
  <sheetViews>
    <sheetView workbookViewId="0">
      <selection activeCell="B9" sqref="B9"/>
    </sheetView>
  </sheetViews>
  <sheetFormatPr defaultColWidth="11.42578125" defaultRowHeight="14.45"/>
  <cols>
    <col min="1" max="1" width="40.85546875" customWidth="1"/>
    <col min="2" max="2" width="66.28515625" customWidth="1"/>
  </cols>
  <sheetData>
    <row r="1" spans="1:2" ht="15">
      <c r="A1" s="11" t="s">
        <v>57</v>
      </c>
      <c r="B1" s="12" t="s">
        <v>58</v>
      </c>
    </row>
    <row r="2" spans="1:2" ht="67.5" customHeight="1">
      <c r="A2" s="14" t="s">
        <v>65</v>
      </c>
      <c r="B2" s="18" t="s">
        <v>66</v>
      </c>
    </row>
    <row r="3" spans="1:2" ht="43.5">
      <c r="A3" s="14" t="s">
        <v>67</v>
      </c>
      <c r="B3" s="18" t="s">
        <v>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8AA91-50C5-45F4-80B4-D403EC3F6E09}">
  <dimension ref="A1"/>
  <sheetViews>
    <sheetView workbookViewId="0"/>
  </sheetViews>
  <sheetFormatPr defaultColWidth="11.42578125" defaultRowHeight="14.4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504E1-60A0-43FB-A9A1-0E8466BB8143}">
  <dimension ref="A1"/>
  <sheetViews>
    <sheetView workbookViewId="0"/>
  </sheetViews>
  <sheetFormatPr defaultColWidth="11.42578125" defaultRowHeight="14.4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9579F-62C1-4DAA-AEA7-548BB531F479}">
  <dimension ref="B1:B4"/>
  <sheetViews>
    <sheetView workbookViewId="0">
      <selection activeCell="C33" sqref="C33"/>
    </sheetView>
  </sheetViews>
  <sheetFormatPr defaultColWidth="11.42578125" defaultRowHeight="14.45"/>
  <cols>
    <col min="2" max="2" width="48.28515625" customWidth="1"/>
    <col min="3" max="3" width="83.28515625" customWidth="1"/>
  </cols>
  <sheetData>
    <row r="1" spans="2:2" ht="15"/>
    <row r="2" spans="2:2" ht="15">
      <c r="B2" t="s">
        <v>69</v>
      </c>
    </row>
    <row r="3" spans="2:2" ht="10.5" customHeight="1"/>
    <row r="4" spans="2:2" ht="15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C7798-D185-4E82-B3A0-A2DAB673B34B}">
  <dimension ref="B3:C4"/>
  <sheetViews>
    <sheetView tabSelected="1" workbookViewId="0">
      <selection activeCell="G11" sqref="G11"/>
    </sheetView>
  </sheetViews>
  <sheetFormatPr defaultRowHeight="15"/>
  <cols>
    <col min="2" max="2" width="28.28515625" customWidth="1"/>
    <col min="3" max="3" width="62.140625" customWidth="1"/>
  </cols>
  <sheetData>
    <row r="3" spans="2:3">
      <c r="B3" s="11" t="s">
        <v>57</v>
      </c>
      <c r="C3" s="12" t="s">
        <v>58</v>
      </c>
    </row>
    <row r="4" spans="2:3" ht="29.25">
      <c r="B4" s="16" t="s">
        <v>63</v>
      </c>
      <c r="C4" s="17" t="s">
        <v>70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ec00d9b-94f7-475a-85dc-f517f90086c9">
      <Terms xmlns="http://schemas.microsoft.com/office/infopath/2007/PartnerControls"/>
    </lcf76f155ced4ddcb4097134ff3c332f>
    <TaxCatchAll xmlns="b7f08318-9e67-4cf6-83a6-3e1ba6c0148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210EFF3F005184E83CCE9144B5B2AA8" ma:contentTypeVersion="10" ma:contentTypeDescription="Crear nuevo documento." ma:contentTypeScope="" ma:versionID="84c406f50c877d11ac04333511c4593d">
  <xsd:schema xmlns:xsd="http://www.w3.org/2001/XMLSchema" xmlns:xs="http://www.w3.org/2001/XMLSchema" xmlns:p="http://schemas.microsoft.com/office/2006/metadata/properties" xmlns:ns2="8ec00d9b-94f7-475a-85dc-f517f90086c9" xmlns:ns3="b7f08318-9e67-4cf6-83a6-3e1ba6c01486" targetNamespace="http://schemas.microsoft.com/office/2006/metadata/properties" ma:root="true" ma:fieldsID="b4e59f9abc24438d51fededa65cb1325" ns2:_="" ns3:_="">
    <xsd:import namespace="8ec00d9b-94f7-475a-85dc-f517f90086c9"/>
    <xsd:import namespace="b7f08318-9e67-4cf6-83a6-3e1ba6c014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c00d9b-94f7-475a-85dc-f517f90086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543dc2c-c282-4bcc-a46d-38262559636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f08318-9e67-4cf6-83a6-3e1ba6c0148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88398d4-d940-4deb-8be8-a2c9976ebb15}" ma:internalName="TaxCatchAll" ma:showField="CatchAllData" ma:web="b7f08318-9e67-4cf6-83a6-3e1ba6c014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F4B272D-551A-4AF9-B220-C688C9745ED1}"/>
</file>

<file path=customXml/itemProps2.xml><?xml version="1.0" encoding="utf-8"?>
<ds:datastoreItem xmlns:ds="http://schemas.openxmlformats.org/officeDocument/2006/customXml" ds:itemID="{0D0D844A-E87E-42E2-B155-132CABE67861}"/>
</file>

<file path=customXml/itemProps3.xml><?xml version="1.0" encoding="utf-8"?>
<ds:datastoreItem xmlns:ds="http://schemas.openxmlformats.org/officeDocument/2006/customXml" ds:itemID="{2238EB34-5156-4786-8F4E-F2B72B06D99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PABLO FERNANDEZ MONTES</dc:creator>
  <cp:keywords/>
  <dc:description/>
  <cp:lastModifiedBy/>
  <cp:revision/>
  <dcterms:created xsi:type="dcterms:W3CDTF">2026-02-12T07:56:44Z</dcterms:created>
  <dcterms:modified xsi:type="dcterms:W3CDTF">2026-05-20T17:45:42Z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0x010100D210EFF3F005184E83CCE9144B5B2AA8</vt:lpwstr>
  </property>
</Properties>
</file>